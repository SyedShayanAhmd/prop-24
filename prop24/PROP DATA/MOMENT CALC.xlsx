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\Desktop\CAD prop\PROP DATA\"/>
    </mc:Choice>
  </mc:AlternateContent>
  <xr:revisionPtr revIDLastSave="0" documentId="8_{3D91D537-72CE-4CA4-A1ED-D8992A57D36E}" xr6:coauthVersionLast="47" xr6:coauthVersionMax="47" xr10:uidLastSave="{00000000-0000-0000-0000-000000000000}"/>
  <bookViews>
    <workbookView xWindow="-120" yWindow="-120" windowWidth="20640" windowHeight="11160" xr2:uid="{30986A87-ABD1-415C-BD06-D2580379E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12" i="1"/>
  <c r="D4" i="1"/>
  <c r="D5" i="1"/>
  <c r="D10" i="1"/>
  <c r="D11" i="1"/>
  <c r="D13" i="1"/>
  <c r="D3" i="1"/>
  <c r="D6" i="1" s="1"/>
  <c r="D15" i="1" l="1"/>
  <c r="F3" i="1"/>
  <c r="G3" i="1"/>
</calcChain>
</file>

<file path=xl/sharedStrings.xml><?xml version="1.0" encoding="utf-8"?>
<sst xmlns="http://schemas.openxmlformats.org/spreadsheetml/2006/main" count="20" uniqueCount="15">
  <si>
    <t>Motor</t>
  </si>
  <si>
    <t>Total</t>
  </si>
  <si>
    <t>Description</t>
  </si>
  <si>
    <t>Esc</t>
  </si>
  <si>
    <t>Battery</t>
  </si>
  <si>
    <t>landing gear</t>
  </si>
  <si>
    <t>back wheel</t>
  </si>
  <si>
    <t>fuselage + tail</t>
  </si>
  <si>
    <t>wing</t>
  </si>
  <si>
    <t>Reciver</t>
  </si>
  <si>
    <t>weight (gm)</t>
  </si>
  <si>
    <t>moment arm (mm)</t>
  </si>
  <si>
    <t>moment (gm.mm)</t>
  </si>
  <si>
    <t>Before CG</t>
  </si>
  <si>
    <t>After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</si>
</sst>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7C68-74F0-4992-B680-66C0CAA351D1}">
  <dimension ref="A1:G15"/>
  <sheetViews>
    <sheetView tabSelected="1" zoomScaleNormal="100" workbookViewId="0">
      <selection activeCell="F10" sqref="F10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19.7109375" bestFit="1" customWidth="1"/>
    <col min="4" max="4" width="18.85546875" bestFit="1" customWidth="1"/>
    <col min="6" max="6" width="12.7109375" bestFit="1" customWidth="1"/>
    <col min="7" max="7" width="11.7109375" bestFit="1" customWidth="1"/>
    <col min="8" max="8" width="12.7109375" bestFit="1" customWidth="1"/>
    <col min="9" max="9" width="22.42578125" bestFit="1" customWidth="1"/>
  </cols>
  <sheetData>
    <row r="1" spans="1:7" ht="18.75" x14ac:dyDescent="0.3">
      <c r="A1" s="8" t="s">
        <v>13</v>
      </c>
      <c r="B1" s="8"/>
      <c r="C1" s="8"/>
      <c r="D1" s="8"/>
    </row>
    <row r="2" spans="1:7" ht="15.75" x14ac:dyDescent="0.25">
      <c r="A2" s="3" t="s">
        <v>2</v>
      </c>
      <c r="B2" s="3" t="s">
        <v>10</v>
      </c>
      <c r="C2" s="3" t="s">
        <v>11</v>
      </c>
      <c r="D2" s="3" t="s">
        <v>12</v>
      </c>
    </row>
    <row r="3" spans="1:7" x14ac:dyDescent="0.25">
      <c r="A3" s="2" t="s">
        <v>0</v>
      </c>
      <c r="B3" s="2">
        <v>200</v>
      </c>
      <c r="C3" s="2">
        <v>331</v>
      </c>
      <c r="D3" s="2">
        <f>B3*C3</f>
        <v>66200</v>
      </c>
      <c r="F3">
        <f>($D6-$D15)/$D6*100</f>
        <v>-1.3199916427889207</v>
      </c>
      <c r="G3">
        <f>($D6-$D15)/$D15*100</f>
        <v>-1.3027948595205656</v>
      </c>
    </row>
    <row r="4" spans="1:7" x14ac:dyDescent="0.25">
      <c r="A4" s="2" t="s">
        <v>3</v>
      </c>
      <c r="B4" s="2">
        <v>95</v>
      </c>
      <c r="C4" s="2">
        <v>196</v>
      </c>
      <c r="D4" s="2">
        <f t="shared" ref="D4:D13" si="0">B4*C4</f>
        <v>18620</v>
      </c>
    </row>
    <row r="5" spans="1:7" x14ac:dyDescent="0.25">
      <c r="A5" s="2" t="s">
        <v>4</v>
      </c>
      <c r="B5" s="2">
        <v>251</v>
      </c>
      <c r="C5" s="2">
        <v>196</v>
      </c>
      <c r="D5" s="2">
        <f t="shared" si="0"/>
        <v>49196</v>
      </c>
    </row>
    <row r="6" spans="1:7" x14ac:dyDescent="0.25">
      <c r="A6" s="5" t="s">
        <v>1</v>
      </c>
      <c r="B6" s="6"/>
      <c r="C6" s="7"/>
      <c r="D6" s="4">
        <f>SUM(D3:D5)</f>
        <v>134016</v>
      </c>
    </row>
    <row r="7" spans="1:7" x14ac:dyDescent="0.25">
      <c r="A7" s="1"/>
      <c r="B7" s="1"/>
      <c r="C7" s="1"/>
      <c r="D7" s="1"/>
    </row>
    <row r="8" spans="1:7" ht="18.75" x14ac:dyDescent="0.25">
      <c r="A8" s="9" t="s">
        <v>14</v>
      </c>
      <c r="B8" s="9"/>
      <c r="C8" s="9"/>
      <c r="D8" s="9"/>
    </row>
    <row r="9" spans="1:7" ht="15.75" x14ac:dyDescent="0.25">
      <c r="A9" s="3" t="s">
        <v>2</v>
      </c>
      <c r="B9" s="3" t="s">
        <v>10</v>
      </c>
      <c r="C9" s="3" t="s">
        <v>11</v>
      </c>
      <c r="D9" s="3" t="s">
        <v>12</v>
      </c>
    </row>
    <row r="10" spans="1:7" x14ac:dyDescent="0.25">
      <c r="A10" s="2" t="s">
        <v>7</v>
      </c>
      <c r="B10" s="2">
        <v>570</v>
      </c>
      <c r="C10" s="2">
        <v>55</v>
      </c>
      <c r="D10" s="2">
        <f t="shared" si="0"/>
        <v>31350</v>
      </c>
    </row>
    <row r="11" spans="1:7" x14ac:dyDescent="0.25">
      <c r="A11" s="2" t="s">
        <v>8</v>
      </c>
      <c r="B11" s="2">
        <v>310</v>
      </c>
      <c r="C11" s="2">
        <v>211</v>
      </c>
      <c r="D11" s="2">
        <f t="shared" si="0"/>
        <v>65410</v>
      </c>
    </row>
    <row r="12" spans="1:7" x14ac:dyDescent="0.25">
      <c r="A12" s="2" t="s">
        <v>5</v>
      </c>
      <c r="B12" s="2">
        <v>135</v>
      </c>
      <c r="C12" s="2">
        <v>15</v>
      </c>
      <c r="D12" s="2">
        <f t="shared" si="0"/>
        <v>2025</v>
      </c>
    </row>
    <row r="13" spans="1:7" x14ac:dyDescent="0.25">
      <c r="A13" s="2" t="s">
        <v>6</v>
      </c>
      <c r="B13" s="2">
        <v>50</v>
      </c>
      <c r="C13" s="2">
        <v>700</v>
      </c>
      <c r="D13" s="2">
        <f t="shared" si="0"/>
        <v>35000</v>
      </c>
    </row>
    <row r="14" spans="1:7" x14ac:dyDescent="0.25">
      <c r="A14" s="2" t="s">
        <v>9</v>
      </c>
      <c r="B14" s="2">
        <v>80</v>
      </c>
      <c r="C14" s="2">
        <v>25</v>
      </c>
      <c r="D14" s="2">
        <f>B14*C14</f>
        <v>2000</v>
      </c>
    </row>
    <row r="15" spans="1:7" x14ac:dyDescent="0.25">
      <c r="A15" s="5" t="s">
        <v>1</v>
      </c>
      <c r="B15" s="6"/>
      <c r="C15" s="7"/>
      <c r="D15" s="4">
        <f>SUM(D10:D14)</f>
        <v>135785</v>
      </c>
    </row>
  </sheetData>
  <mergeCells count="4">
    <mergeCell ref="A15:C15"/>
    <mergeCell ref="A8:D8"/>
    <mergeCell ref="A1:D1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Ul Ain Naeem</dc:creator>
  <cp:lastModifiedBy>Syed Shayan Ahmed</cp:lastModifiedBy>
  <dcterms:created xsi:type="dcterms:W3CDTF">2024-07-15T11:53:58Z</dcterms:created>
  <dcterms:modified xsi:type="dcterms:W3CDTF">2024-07-16T02:03:48Z</dcterms:modified>
</cp:coreProperties>
</file>